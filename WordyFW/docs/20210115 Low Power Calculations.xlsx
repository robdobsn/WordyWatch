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rob\rdev\WordyWatch\WordyFW\docs\"/>
    </mc:Choice>
  </mc:AlternateContent>
  <xr:revisionPtr revIDLastSave="0" documentId="13_ncr:1_{125146E1-25BB-41EB-B167-1ADD8E1B9CAC}" xr6:coauthVersionLast="47" xr6:coauthVersionMax="47" xr10:uidLastSave="{00000000-0000-0000-0000-000000000000}"/>
  <bookViews>
    <workbookView xWindow="-28908" yWindow="-108" windowWidth="29016" windowHeight="18696" xr2:uid="{33FCFB16-DC53-4F12-BCE5-79061AEDC6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 s="1"/>
  <c r="D5" i="1" s="1"/>
  <c r="D7" i="1" s="1"/>
  <c r="E7" i="1" s="1"/>
  <c r="F7" i="1" s="1"/>
  <c r="C32" i="1"/>
  <c r="G34" i="1" s="1"/>
  <c r="C30" i="1"/>
  <c r="F26" i="1" s="1"/>
  <c r="C29" i="1"/>
  <c r="E26" i="1" s="1"/>
  <c r="D19" i="1"/>
  <c r="F20" i="1" s="1"/>
  <c r="G45" i="1" l="1"/>
  <c r="G44" i="1"/>
  <c r="G43" i="1"/>
  <c r="G42" i="1"/>
  <c r="G41" i="1"/>
  <c r="G33" i="1"/>
  <c r="G32" i="1"/>
  <c r="G31" i="1"/>
  <c r="G30" i="1"/>
  <c r="G29" i="1"/>
  <c r="F19" i="1"/>
  <c r="G28" i="1"/>
  <c r="F21" i="1"/>
  <c r="G39" i="1"/>
  <c r="G27" i="1"/>
  <c r="G40" i="1"/>
  <c r="G38" i="1"/>
  <c r="G26" i="1"/>
  <c r="G36" i="1"/>
  <c r="G35" i="1"/>
  <c r="G37" i="1"/>
  <c r="G25" i="1"/>
  <c r="D6" i="1"/>
  <c r="E6" i="1" s="1"/>
  <c r="F6" i="1" s="1"/>
  <c r="D12" i="1"/>
  <c r="E12" i="1" s="1"/>
  <c r="F12" i="1" s="1"/>
  <c r="D15" i="1"/>
  <c r="E15" i="1" s="1"/>
  <c r="F15" i="1" s="1"/>
  <c r="D14" i="1"/>
  <c r="E14" i="1" s="1"/>
  <c r="F14" i="1" s="1"/>
  <c r="D13" i="1"/>
  <c r="E13" i="1" s="1"/>
  <c r="F13" i="1" s="1"/>
  <c r="D10" i="1"/>
  <c r="E10" i="1" s="1"/>
  <c r="F10" i="1" s="1"/>
  <c r="D11" i="1"/>
  <c r="E11" i="1" s="1"/>
  <c r="F11" i="1" s="1"/>
  <c r="D9" i="1"/>
  <c r="E9" i="1" s="1"/>
  <c r="F9" i="1" s="1"/>
  <c r="D8" i="1"/>
  <c r="E8" i="1" s="1"/>
  <c r="F8" i="1" s="1"/>
  <c r="E45" i="1"/>
  <c r="F43" i="1"/>
  <c r="F42" i="1"/>
  <c r="F33" i="1"/>
  <c r="E44" i="1"/>
  <c r="E33" i="1"/>
  <c r="F32" i="1"/>
  <c r="F44" i="1"/>
  <c r="E32" i="1"/>
  <c r="E31" i="1"/>
  <c r="E40" i="1"/>
  <c r="F39" i="1"/>
  <c r="E39" i="1"/>
  <c r="F38" i="1"/>
  <c r="E38" i="1"/>
  <c r="E25" i="1"/>
  <c r="F37" i="1"/>
  <c r="F45" i="1"/>
  <c r="E34" i="1"/>
  <c r="E43" i="1"/>
  <c r="E37" i="1"/>
  <c r="F30" i="1"/>
  <c r="E29" i="1"/>
  <c r="F36" i="1"/>
  <c r="E30" i="1"/>
  <c r="E42" i="1"/>
  <c r="E36" i="1"/>
  <c r="F41" i="1"/>
  <c r="F35" i="1"/>
  <c r="E28" i="1"/>
  <c r="E41" i="1"/>
  <c r="E35" i="1"/>
  <c r="E27" i="1"/>
  <c r="F40" i="1"/>
  <c r="F34" i="1"/>
  <c r="F31" i="1"/>
  <c r="F29" i="1"/>
  <c r="F28" i="1"/>
  <c r="F25" i="1"/>
  <c r="F27" i="1"/>
</calcChain>
</file>

<file path=xl/sharedStrings.xml><?xml version="1.0" encoding="utf-8"?>
<sst xmlns="http://schemas.openxmlformats.org/spreadsheetml/2006/main" count="49" uniqueCount="45">
  <si>
    <t>1nA</t>
  </si>
  <si>
    <t>10nA</t>
  </si>
  <si>
    <t>100nA</t>
  </si>
  <si>
    <t>1uA</t>
  </si>
  <si>
    <t>10uA</t>
  </si>
  <si>
    <t>100uA</t>
  </si>
  <si>
    <t>1mA</t>
  </si>
  <si>
    <t>10mA</t>
  </si>
  <si>
    <t>100mA</t>
  </si>
  <si>
    <t>1A</t>
  </si>
  <si>
    <t>Actual ADC converted</t>
  </si>
  <si>
    <t>Expected</t>
  </si>
  <si>
    <t>VSENSE design</t>
  </si>
  <si>
    <t>R12 (VBAT)</t>
  </si>
  <si>
    <t>R11 (GND)</t>
  </si>
  <si>
    <t>R10 (BTN)</t>
  </si>
  <si>
    <t>Value</t>
  </si>
  <si>
    <t>LiPo range</t>
  </si>
  <si>
    <t>ADC V No Button</t>
  </si>
  <si>
    <t>ADC V Button</t>
  </si>
  <si>
    <t>Div No Button</t>
  </si>
  <si>
    <t>Div Button</t>
  </si>
  <si>
    <t>Current Drain (No button)</t>
  </si>
  <si>
    <t>Series R (No button)</t>
  </si>
  <si>
    <t>Battery Size Ah</t>
  </si>
  <si>
    <t>Usable Ah</t>
  </si>
  <si>
    <t>ADC VSENSE Linearity with VBAT</t>
  </si>
  <si>
    <t>Div</t>
  </si>
  <si>
    <t>VBAT</t>
  </si>
  <si>
    <t>Expected battery life at different currents</t>
  </si>
  <si>
    <t>V1.1 Expected vs Actual Current Consumption</t>
  </si>
  <si>
    <t>ESP32-C6 Deep Sleep</t>
  </si>
  <si>
    <t>uA</t>
  </si>
  <si>
    <t>RV3028-C7</t>
  </si>
  <si>
    <t>R9</t>
  </si>
  <si>
    <t>R12+R11</t>
  </si>
  <si>
    <t>R13</t>
  </si>
  <si>
    <t>R27</t>
  </si>
  <si>
    <t>R24</t>
  </si>
  <si>
    <t>VDD SPI</t>
  </si>
  <si>
    <t>R19</t>
  </si>
  <si>
    <t>3V3 both ends</t>
  </si>
  <si>
    <t>Off when deep sleep</t>
  </si>
  <si>
    <t>Actual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</si>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</sst>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F4AEC-AB5B-4B9B-88AE-92E6C9D77EEC}">
  <dimension ref="A1:H60"/>
  <sheetViews>
    <sheetView tabSelected="1" topLeftCell="A19" workbookViewId="0">
      <selection activeCell="F51" sqref="F51"/>
    </sheetView>
  </sheetViews>
  <sheetFormatPr defaultRowHeight="14.5" x14ac:dyDescent="0.35"/>
  <cols>
    <col min="2" max="2" width="18.7265625" bestFit="1" customWidth="1"/>
    <col min="5" max="5" width="10.54296875" bestFit="1" customWidth="1"/>
  </cols>
  <sheetData>
    <row r="1" spans="1:6" x14ac:dyDescent="0.35">
      <c r="A1" s="3" t="s">
        <v>29</v>
      </c>
    </row>
    <row r="2" spans="1:6" x14ac:dyDescent="0.35">
      <c r="B2" t="s">
        <v>24</v>
      </c>
      <c r="C2">
        <f>0.14</f>
        <v>0.14000000000000001</v>
      </c>
    </row>
    <row r="3" spans="1:6" x14ac:dyDescent="0.35">
      <c r="B3" t="s">
        <v>25</v>
      </c>
      <c r="C3">
        <f>C2*0.7</f>
        <v>9.8000000000000004E-2</v>
      </c>
    </row>
    <row r="5" spans="1:6" x14ac:dyDescent="0.35">
      <c r="D5" s="1">
        <f>C3</f>
        <v>9.8000000000000004E-2</v>
      </c>
      <c r="E5">
        <v>24</v>
      </c>
      <c r="F5">
        <v>30</v>
      </c>
    </row>
    <row r="6" spans="1:6" x14ac:dyDescent="0.35">
      <c r="B6" t="s">
        <v>0</v>
      </c>
      <c r="C6" s="1">
        <v>1.0000000000000001E-9</v>
      </c>
      <c r="D6" s="1">
        <f>$D$5/C6</f>
        <v>98000000</v>
      </c>
      <c r="E6" s="2">
        <f>D6/$E$5</f>
        <v>4083333.3333333335</v>
      </c>
      <c r="F6">
        <f>E6/$F$5</f>
        <v>136111.11111111112</v>
      </c>
    </row>
    <row r="7" spans="1:6" x14ac:dyDescent="0.35">
      <c r="B7" t="s">
        <v>1</v>
      </c>
      <c r="C7" s="1">
        <v>1E-8</v>
      </c>
      <c r="D7" s="1">
        <f t="shared" ref="D7:D15" si="0">$D$5/C7</f>
        <v>9800000</v>
      </c>
      <c r="E7" s="2">
        <f t="shared" ref="E7:E15" si="1">D7/$E$5</f>
        <v>408333.33333333331</v>
      </c>
      <c r="F7">
        <f t="shared" ref="F7:F15" si="2">E7/$F$5</f>
        <v>13611.111111111111</v>
      </c>
    </row>
    <row r="8" spans="1:6" x14ac:dyDescent="0.35">
      <c r="B8" t="s">
        <v>2</v>
      </c>
      <c r="C8" s="1">
        <v>9.9999999999999995E-8</v>
      </c>
      <c r="D8" s="1">
        <f t="shared" si="0"/>
        <v>980000.00000000012</v>
      </c>
      <c r="E8" s="2">
        <f t="shared" si="1"/>
        <v>40833.333333333336</v>
      </c>
      <c r="F8">
        <f t="shared" si="2"/>
        <v>1361.1111111111111</v>
      </c>
    </row>
    <row r="9" spans="1:6" x14ac:dyDescent="0.35">
      <c r="B9" t="s">
        <v>3</v>
      </c>
      <c r="C9" s="1">
        <v>9.9999999999999995E-7</v>
      </c>
      <c r="D9" s="1">
        <f t="shared" si="0"/>
        <v>98000.000000000015</v>
      </c>
      <c r="E9" s="2">
        <f t="shared" si="1"/>
        <v>4083.3333333333339</v>
      </c>
      <c r="F9">
        <f t="shared" si="2"/>
        <v>136.11111111111114</v>
      </c>
    </row>
    <row r="10" spans="1:6" x14ac:dyDescent="0.35">
      <c r="B10" t="s">
        <v>4</v>
      </c>
      <c r="C10" s="1">
        <v>1.0000000000000001E-5</v>
      </c>
      <c r="D10" s="1">
        <f t="shared" si="0"/>
        <v>9800</v>
      </c>
      <c r="E10" s="2">
        <f t="shared" si="1"/>
        <v>408.33333333333331</v>
      </c>
      <c r="F10">
        <f t="shared" si="2"/>
        <v>13.611111111111111</v>
      </c>
    </row>
    <row r="11" spans="1:6" x14ac:dyDescent="0.35">
      <c r="B11" t="s">
        <v>5</v>
      </c>
      <c r="C11" s="1">
        <v>1E-4</v>
      </c>
      <c r="D11" s="1">
        <f t="shared" si="0"/>
        <v>980</v>
      </c>
      <c r="E11" s="2">
        <f t="shared" si="1"/>
        <v>40.833333333333336</v>
      </c>
      <c r="F11">
        <f t="shared" si="2"/>
        <v>1.3611111111111112</v>
      </c>
    </row>
    <row r="12" spans="1:6" x14ac:dyDescent="0.35">
      <c r="B12" t="s">
        <v>6</v>
      </c>
      <c r="C12" s="1">
        <v>1E-3</v>
      </c>
      <c r="D12" s="1">
        <f t="shared" si="0"/>
        <v>98</v>
      </c>
      <c r="E12" s="2">
        <f t="shared" si="1"/>
        <v>4.083333333333333</v>
      </c>
      <c r="F12">
        <f t="shared" si="2"/>
        <v>0.1361111111111111</v>
      </c>
    </row>
    <row r="13" spans="1:6" x14ac:dyDescent="0.35">
      <c r="B13" t="s">
        <v>7</v>
      </c>
      <c r="C13" s="1">
        <v>0.01</v>
      </c>
      <c r="D13" s="1">
        <f t="shared" si="0"/>
        <v>9.8000000000000007</v>
      </c>
      <c r="E13" s="2">
        <f t="shared" si="1"/>
        <v>0.40833333333333338</v>
      </c>
      <c r="F13">
        <f t="shared" si="2"/>
        <v>1.3611111111111112E-2</v>
      </c>
    </row>
    <row r="14" spans="1:6" x14ac:dyDescent="0.35">
      <c r="B14" t="s">
        <v>8</v>
      </c>
      <c r="C14" s="1">
        <v>0.1</v>
      </c>
      <c r="D14" s="1">
        <f t="shared" si="0"/>
        <v>0.98</v>
      </c>
      <c r="E14" s="2">
        <f t="shared" si="1"/>
        <v>4.0833333333333333E-2</v>
      </c>
      <c r="F14">
        <f t="shared" si="2"/>
        <v>1.3611111111111111E-3</v>
      </c>
    </row>
    <row r="15" spans="1:6" x14ac:dyDescent="0.35">
      <c r="B15" t="s">
        <v>9</v>
      </c>
      <c r="C15" s="1">
        <v>1</v>
      </c>
      <c r="D15" s="1">
        <f t="shared" si="0"/>
        <v>9.8000000000000004E-2</v>
      </c>
      <c r="E15" s="2">
        <f t="shared" si="1"/>
        <v>4.0833333333333338E-3</v>
      </c>
      <c r="F15">
        <f t="shared" si="2"/>
        <v>1.3611111111111113E-4</v>
      </c>
    </row>
    <row r="16" spans="1:6" x14ac:dyDescent="0.35">
      <c r="C16" s="1"/>
    </row>
    <row r="17" spans="1:8" x14ac:dyDescent="0.35">
      <c r="A17" s="3" t="s">
        <v>26</v>
      </c>
      <c r="C17" s="1"/>
    </row>
    <row r="18" spans="1:8" x14ac:dyDescent="0.35">
      <c r="C18" s="1"/>
      <c r="D18" t="s">
        <v>27</v>
      </c>
      <c r="E18" t="s">
        <v>28</v>
      </c>
      <c r="F18" t="s">
        <v>11</v>
      </c>
      <c r="G18" t="s">
        <v>10</v>
      </c>
    </row>
    <row r="19" spans="1:8" x14ac:dyDescent="0.35">
      <c r="B19" t="s">
        <v>14</v>
      </c>
      <c r="C19">
        <v>2.2000000000000002</v>
      </c>
      <c r="D19">
        <f>C19/(C19+C20)</f>
        <v>0.31884057971014496</v>
      </c>
      <c r="E19">
        <v>3.7</v>
      </c>
      <c r="F19">
        <f>E19*$D$19</f>
        <v>1.1797101449275365</v>
      </c>
      <c r="G19">
        <v>1.2529999999999999</v>
      </c>
      <c r="H19">
        <v>1280</v>
      </c>
    </row>
    <row r="20" spans="1:8" x14ac:dyDescent="0.35">
      <c r="B20" t="s">
        <v>13</v>
      </c>
      <c r="C20">
        <v>4.7</v>
      </c>
      <c r="E20">
        <v>3.3</v>
      </c>
      <c r="F20">
        <f t="shared" ref="F20:F21" si="3">E20*$D$19</f>
        <v>1.0521739130434784</v>
      </c>
      <c r="G20">
        <v>1.19</v>
      </c>
      <c r="H20">
        <v>1216</v>
      </c>
    </row>
    <row r="21" spans="1:8" x14ac:dyDescent="0.35">
      <c r="E21">
        <v>3</v>
      </c>
      <c r="F21">
        <f t="shared" si="3"/>
        <v>0.95652173913043481</v>
      </c>
      <c r="G21">
        <v>1.0649999999999999</v>
      </c>
      <c r="H21">
        <v>1089</v>
      </c>
    </row>
    <row r="23" spans="1:8" x14ac:dyDescent="0.35">
      <c r="A23" s="3" t="s">
        <v>12</v>
      </c>
    </row>
    <row r="24" spans="1:8" x14ac:dyDescent="0.35">
      <c r="C24" t="s">
        <v>16</v>
      </c>
      <c r="D24" t="s">
        <v>17</v>
      </c>
      <c r="E24" t="s">
        <v>18</v>
      </c>
      <c r="F24" t="s">
        <v>19</v>
      </c>
      <c r="G24" t="s">
        <v>22</v>
      </c>
    </row>
    <row r="25" spans="1:8" x14ac:dyDescent="0.35">
      <c r="B25" t="s">
        <v>13</v>
      </c>
      <c r="C25" s="1">
        <v>4700000</v>
      </c>
      <c r="D25">
        <v>2.5</v>
      </c>
      <c r="E25">
        <f>D25*$C$29</f>
        <v>0.79710144927536231</v>
      </c>
      <c r="F25">
        <f>D25*$C$30</f>
        <v>1.7427497314715359</v>
      </c>
      <c r="G25" s="1">
        <f>D25/$C$32</f>
        <v>3.6231884057971015E-7</v>
      </c>
    </row>
    <row r="26" spans="1:8" x14ac:dyDescent="0.35">
      <c r="B26" t="s">
        <v>14</v>
      </c>
      <c r="C26" s="1">
        <v>2200000</v>
      </c>
      <c r="D26">
        <v>2.6</v>
      </c>
      <c r="E26">
        <f t="shared" ref="E26:E45" si="4">D26*$C$29</f>
        <v>0.82898550724637676</v>
      </c>
      <c r="F26">
        <f t="shared" ref="F26:F45" si="5">D26*$C$30</f>
        <v>1.8124597207303974</v>
      </c>
      <c r="G26" s="1">
        <f t="shared" ref="G26:G45" si="6">D26/$C$32</f>
        <v>3.7681159420289855E-7</v>
      </c>
    </row>
    <row r="27" spans="1:8" x14ac:dyDescent="0.35">
      <c r="B27" t="s">
        <v>15</v>
      </c>
      <c r="C27" s="1">
        <v>1200000</v>
      </c>
      <c r="D27">
        <v>2.7</v>
      </c>
      <c r="E27">
        <f t="shared" si="4"/>
        <v>0.86086956521739133</v>
      </c>
      <c r="F27">
        <f t="shared" si="5"/>
        <v>1.8821697099892589</v>
      </c>
      <c r="G27" s="1">
        <f t="shared" si="6"/>
        <v>3.91304347826087E-7</v>
      </c>
    </row>
    <row r="28" spans="1:8" x14ac:dyDescent="0.35">
      <c r="D28">
        <v>2.8</v>
      </c>
      <c r="E28">
        <f t="shared" si="4"/>
        <v>0.89275362318840568</v>
      </c>
      <c r="F28">
        <f t="shared" si="5"/>
        <v>1.9518796992481202</v>
      </c>
      <c r="G28" s="1">
        <f t="shared" si="6"/>
        <v>4.0579710144927534E-7</v>
      </c>
    </row>
    <row r="29" spans="1:8" x14ac:dyDescent="0.35">
      <c r="B29" t="s">
        <v>20</v>
      </c>
      <c r="C29" s="1">
        <f>C26/(C26+C25)</f>
        <v>0.3188405797101449</v>
      </c>
      <c r="D29">
        <v>2.9</v>
      </c>
      <c r="E29">
        <f t="shared" si="4"/>
        <v>0.92463768115942013</v>
      </c>
      <c r="F29">
        <f t="shared" si="5"/>
        <v>2.0215896885069817</v>
      </c>
      <c r="G29" s="1">
        <f t="shared" si="6"/>
        <v>4.2028985507246374E-7</v>
      </c>
    </row>
    <row r="30" spans="1:8" x14ac:dyDescent="0.35">
      <c r="B30" t="s">
        <v>21</v>
      </c>
      <c r="C30" s="1">
        <f>C26/((C25*C27)/(C25+C27)+C26)</f>
        <v>0.69709989258861438</v>
      </c>
      <c r="D30">
        <v>3</v>
      </c>
      <c r="E30">
        <f t="shared" si="4"/>
        <v>0.9565217391304347</v>
      </c>
      <c r="F30">
        <f t="shared" si="5"/>
        <v>2.0912996777658432</v>
      </c>
      <c r="G30" s="1">
        <f t="shared" si="6"/>
        <v>4.3478260869565219E-7</v>
      </c>
    </row>
    <row r="31" spans="1:8" x14ac:dyDescent="0.35">
      <c r="D31">
        <v>3.1</v>
      </c>
      <c r="E31">
        <f t="shared" si="4"/>
        <v>0.98840579710144927</v>
      </c>
      <c r="F31">
        <f t="shared" si="5"/>
        <v>2.1610096670247048</v>
      </c>
      <c r="G31" s="1">
        <f t="shared" si="6"/>
        <v>4.4927536231884059E-7</v>
      </c>
    </row>
    <row r="32" spans="1:8" x14ac:dyDescent="0.35">
      <c r="B32" t="s">
        <v>23</v>
      </c>
      <c r="C32" s="1">
        <f>C25+C26</f>
        <v>6900000</v>
      </c>
      <c r="D32">
        <v>3.2</v>
      </c>
      <c r="E32">
        <f t="shared" si="4"/>
        <v>1.0202898550724637</v>
      </c>
      <c r="F32">
        <f t="shared" si="5"/>
        <v>2.2307196562835663</v>
      </c>
      <c r="G32" s="1">
        <f t="shared" si="6"/>
        <v>4.6376811594202904E-7</v>
      </c>
    </row>
    <row r="33" spans="1:7" x14ac:dyDescent="0.35">
      <c r="D33">
        <v>3.3</v>
      </c>
      <c r="E33">
        <f t="shared" si="4"/>
        <v>1.0521739130434782</v>
      </c>
      <c r="F33">
        <f t="shared" si="5"/>
        <v>2.3004296455424273</v>
      </c>
      <c r="G33" s="1">
        <f t="shared" si="6"/>
        <v>4.7826086956521733E-7</v>
      </c>
    </row>
    <row r="34" spans="1:7" x14ac:dyDescent="0.35">
      <c r="D34">
        <v>3.4</v>
      </c>
      <c r="E34">
        <f t="shared" si="4"/>
        <v>1.0840579710144926</v>
      </c>
      <c r="F34">
        <f t="shared" si="5"/>
        <v>2.3701396348012889</v>
      </c>
      <c r="G34" s="1">
        <f t="shared" si="6"/>
        <v>4.9275362318840583E-7</v>
      </c>
    </row>
    <row r="35" spans="1:7" x14ac:dyDescent="0.35">
      <c r="D35">
        <v>3.5</v>
      </c>
      <c r="E35">
        <f t="shared" si="4"/>
        <v>1.1159420289855071</v>
      </c>
      <c r="F35">
        <f t="shared" si="5"/>
        <v>2.4398496240601504</v>
      </c>
      <c r="G35" s="1">
        <f t="shared" si="6"/>
        <v>5.0724637681159423E-7</v>
      </c>
    </row>
    <row r="36" spans="1:7" x14ac:dyDescent="0.35">
      <c r="D36">
        <v>3.6</v>
      </c>
      <c r="E36">
        <f t="shared" si="4"/>
        <v>1.1478260869565218</v>
      </c>
      <c r="F36">
        <f t="shared" si="5"/>
        <v>2.5095596133190119</v>
      </c>
      <c r="G36" s="1">
        <f t="shared" si="6"/>
        <v>5.2173913043478263E-7</v>
      </c>
    </row>
    <row r="37" spans="1:7" x14ac:dyDescent="0.35">
      <c r="D37">
        <v>3.7</v>
      </c>
      <c r="E37">
        <f t="shared" si="4"/>
        <v>1.1797101449275362</v>
      </c>
      <c r="F37">
        <f t="shared" si="5"/>
        <v>2.5792696025778734</v>
      </c>
      <c r="G37" s="1">
        <f t="shared" si="6"/>
        <v>5.3623188405797102E-7</v>
      </c>
    </row>
    <row r="38" spans="1:7" x14ac:dyDescent="0.35">
      <c r="D38">
        <v>3.8</v>
      </c>
      <c r="E38">
        <f t="shared" si="4"/>
        <v>1.2115942028985505</v>
      </c>
      <c r="F38">
        <f t="shared" si="5"/>
        <v>2.6489795918367345</v>
      </c>
      <c r="G38" s="1">
        <f t="shared" si="6"/>
        <v>5.5072463768115942E-7</v>
      </c>
    </row>
    <row r="39" spans="1:7" x14ac:dyDescent="0.35">
      <c r="D39">
        <v>3.9</v>
      </c>
      <c r="E39">
        <f t="shared" si="4"/>
        <v>1.2434782608695651</v>
      </c>
      <c r="F39">
        <f t="shared" si="5"/>
        <v>2.718689581095596</v>
      </c>
      <c r="G39" s="1">
        <f t="shared" si="6"/>
        <v>5.6521739130434782E-7</v>
      </c>
    </row>
    <row r="40" spans="1:7" x14ac:dyDescent="0.35">
      <c r="D40">
        <v>4</v>
      </c>
      <c r="E40">
        <f t="shared" si="4"/>
        <v>1.2753623188405796</v>
      </c>
      <c r="F40">
        <f t="shared" si="5"/>
        <v>2.7883995703544575</v>
      </c>
      <c r="G40" s="1">
        <f t="shared" si="6"/>
        <v>5.7971014492753622E-7</v>
      </c>
    </row>
    <row r="41" spans="1:7" x14ac:dyDescent="0.35">
      <c r="D41">
        <v>4.0999999999999996</v>
      </c>
      <c r="E41">
        <f t="shared" si="4"/>
        <v>1.3072463768115941</v>
      </c>
      <c r="F41">
        <f t="shared" si="5"/>
        <v>2.8581095596133186</v>
      </c>
      <c r="G41" s="1">
        <f t="shared" si="6"/>
        <v>5.9420289855072461E-7</v>
      </c>
    </row>
    <row r="42" spans="1:7" x14ac:dyDescent="0.35">
      <c r="D42">
        <v>4.2</v>
      </c>
      <c r="E42">
        <f t="shared" si="4"/>
        <v>1.3391304347826087</v>
      </c>
      <c r="F42">
        <f t="shared" si="5"/>
        <v>2.9278195488721805</v>
      </c>
      <c r="G42" s="1">
        <f t="shared" si="6"/>
        <v>6.0869565217391312E-7</v>
      </c>
    </row>
    <row r="43" spans="1:7" x14ac:dyDescent="0.35">
      <c r="D43">
        <v>4.3</v>
      </c>
      <c r="E43">
        <f t="shared" si="4"/>
        <v>1.371014492753623</v>
      </c>
      <c r="F43">
        <f t="shared" si="5"/>
        <v>2.9975295381310416</v>
      </c>
      <c r="G43" s="1">
        <f t="shared" si="6"/>
        <v>6.2318840579710141E-7</v>
      </c>
    </row>
    <row r="44" spans="1:7" x14ac:dyDescent="0.35">
      <c r="D44">
        <v>4.4000000000000004</v>
      </c>
      <c r="E44">
        <f t="shared" si="4"/>
        <v>1.4028985507246376</v>
      </c>
      <c r="F44">
        <f t="shared" si="5"/>
        <v>3.0672395273899036</v>
      </c>
      <c r="G44" s="1">
        <f t="shared" si="6"/>
        <v>6.3768115942028991E-7</v>
      </c>
    </row>
    <row r="45" spans="1:7" x14ac:dyDescent="0.35">
      <c r="D45">
        <v>4.5</v>
      </c>
      <c r="E45">
        <f t="shared" si="4"/>
        <v>1.4347826086956521</v>
      </c>
      <c r="F45">
        <f t="shared" si="5"/>
        <v>3.1369495166487646</v>
      </c>
      <c r="G45" s="1">
        <f t="shared" si="6"/>
        <v>6.5217391304347831E-7</v>
      </c>
    </row>
    <row r="48" spans="1:7" x14ac:dyDescent="0.35">
      <c r="A48" s="3" t="s">
        <v>30</v>
      </c>
    </row>
    <row r="49" spans="2:6" x14ac:dyDescent="0.35">
      <c r="B49" t="s">
        <v>11</v>
      </c>
      <c r="F49" t="s">
        <v>43</v>
      </c>
    </row>
    <row r="50" spans="2:6" x14ac:dyDescent="0.35">
      <c r="C50" t="s">
        <v>32</v>
      </c>
      <c r="F50" t="s">
        <v>32</v>
      </c>
    </row>
    <row r="51" spans="2:6" x14ac:dyDescent="0.35">
      <c r="B51" t="s">
        <v>31</v>
      </c>
      <c r="C51">
        <v>15</v>
      </c>
    </row>
    <row r="52" spans="2:6" x14ac:dyDescent="0.35">
      <c r="B52" t="s">
        <v>33</v>
      </c>
      <c r="C52">
        <v>0.05</v>
      </c>
    </row>
    <row r="53" spans="2:6" x14ac:dyDescent="0.35">
      <c r="B53" t="s">
        <v>34</v>
      </c>
      <c r="C53">
        <v>0.3</v>
      </c>
    </row>
    <row r="54" spans="2:6" x14ac:dyDescent="0.35">
      <c r="B54" t="s">
        <v>35</v>
      </c>
      <c r="C54">
        <v>0.7</v>
      </c>
    </row>
    <row r="55" spans="2:6" x14ac:dyDescent="0.35">
      <c r="B55" t="s">
        <v>36</v>
      </c>
      <c r="C55">
        <v>7</v>
      </c>
    </row>
    <row r="56" spans="2:6" x14ac:dyDescent="0.35">
      <c r="B56" t="s">
        <v>37</v>
      </c>
      <c r="C56">
        <v>7</v>
      </c>
    </row>
    <row r="57" spans="2:6" x14ac:dyDescent="0.35">
      <c r="B57" t="s">
        <v>38</v>
      </c>
      <c r="C57">
        <v>7</v>
      </c>
    </row>
    <row r="58" spans="2:6" x14ac:dyDescent="0.35">
      <c r="B58" t="s">
        <v>39</v>
      </c>
      <c r="C58">
        <v>0</v>
      </c>
      <c r="D58" t="s">
        <v>42</v>
      </c>
    </row>
    <row r="59" spans="2:6" x14ac:dyDescent="0.35">
      <c r="B59" t="s">
        <v>40</v>
      </c>
      <c r="C59">
        <v>0</v>
      </c>
      <c r="D59" t="s">
        <v>41</v>
      </c>
    </row>
    <row r="60" spans="2:6" x14ac:dyDescent="0.35">
      <c r="B60" t="s">
        <v>44</v>
      </c>
      <c r="F60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Wilson</dc:creator>
  <cp:lastModifiedBy>Rob Dobson</cp:lastModifiedBy>
  <dcterms:created xsi:type="dcterms:W3CDTF">2026-01-13T11:25:24Z</dcterms:created>
  <dcterms:modified xsi:type="dcterms:W3CDTF">2026-04-01T15:12:31Z</dcterms:modified>
</cp:coreProperties>
</file>